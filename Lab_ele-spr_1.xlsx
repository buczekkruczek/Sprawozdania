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ekparowka/Documents/Studia/I pracownia fizyczna/skoroszyty/"/>
    </mc:Choice>
  </mc:AlternateContent>
  <xr:revisionPtr revIDLastSave="0" documentId="13_ncr:1_{4E37AF52-B81B-8647-ACD5-DBC860143FF6}" xr6:coauthVersionLast="47" xr6:coauthVersionMax="47" xr10:uidLastSave="{00000000-0000-0000-0000-000000000000}"/>
  <bookViews>
    <workbookView xWindow="6360" yWindow="2620" windowWidth="28240" windowHeight="17240" xr2:uid="{EF52FDA6-7AAA-8B47-A4F9-B3EF239B995B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0" i="1" l="1"/>
  <c r="K27" i="1"/>
  <c r="G27" i="1"/>
  <c r="I27" i="1"/>
  <c r="I30" i="1" s="1"/>
  <c r="K23" i="1"/>
  <c r="D27" i="1"/>
  <c r="D25" i="1"/>
  <c r="G30" i="1"/>
  <c r="C27" i="1"/>
  <c r="E27" i="1"/>
  <c r="I23" i="1"/>
  <c r="G23" i="1"/>
  <c r="H8" i="1" a="1"/>
  <c r="H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<sst xmlns="http://schemas.openxmlformats.org/spreadsheetml/2006/main" count="10" uniqueCount="9">
  <si>
    <t>V</t>
  </si>
  <si>
    <t>Ux</t>
  </si>
  <si>
    <t>U</t>
  </si>
  <si>
    <t>Rref</t>
  </si>
  <si>
    <t>Delta U</t>
  </si>
  <si>
    <t>Delta Ux</t>
  </si>
  <si>
    <t>Delta Rref</t>
  </si>
  <si>
    <t>Rx - jeden pomiar</t>
  </si>
  <si>
    <t>Rx - regresja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</si>
</sst>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745555555555556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Arkusz1!$D$5:$D$17</c:f>
              <c:numCache>
                <c:formatCode>General</c:formatCode>
                <c:ptCount val="13"/>
                <c:pt idx="0">
                  <c:v>1.1000000000000001</c:v>
                </c:pt>
                <c:pt idx="1">
                  <c:v>1.86</c:v>
                </c:pt>
                <c:pt idx="2">
                  <c:v>3.01</c:v>
                </c:pt>
                <c:pt idx="3">
                  <c:v>5.03</c:v>
                </c:pt>
                <c:pt idx="4">
                  <c:v>6.69</c:v>
                </c:pt>
                <c:pt idx="5">
                  <c:v>7.67</c:v>
                </c:pt>
                <c:pt idx="6">
                  <c:v>8.65</c:v>
                </c:pt>
                <c:pt idx="7">
                  <c:v>9.51</c:v>
                </c:pt>
                <c:pt idx="8">
                  <c:v>10.49</c:v>
                </c:pt>
                <c:pt idx="9">
                  <c:v>11.3</c:v>
                </c:pt>
                <c:pt idx="10">
                  <c:v>12.91</c:v>
                </c:pt>
                <c:pt idx="11">
                  <c:v>13.42</c:v>
                </c:pt>
                <c:pt idx="12">
                  <c:v>14.84</c:v>
                </c:pt>
              </c:numCache>
            </c:numRef>
          </c:xVal>
          <c:yVal>
            <c:numRef>
              <c:f>Arkusz1!$E$5:$E$17</c:f>
              <c:numCache>
                <c:formatCode>General</c:formatCode>
                <c:ptCount val="13"/>
                <c:pt idx="0">
                  <c:v>0.38</c:v>
                </c:pt>
                <c:pt idx="1">
                  <c:v>0.64</c:v>
                </c:pt>
                <c:pt idx="2">
                  <c:v>1.04</c:v>
                </c:pt>
                <c:pt idx="3">
                  <c:v>1.84</c:v>
                </c:pt>
                <c:pt idx="4">
                  <c:v>2.33</c:v>
                </c:pt>
                <c:pt idx="5">
                  <c:v>2.67</c:v>
                </c:pt>
                <c:pt idx="6">
                  <c:v>2.98</c:v>
                </c:pt>
                <c:pt idx="7">
                  <c:v>3.31</c:v>
                </c:pt>
                <c:pt idx="8">
                  <c:v>3.65</c:v>
                </c:pt>
                <c:pt idx="9">
                  <c:v>3.93</c:v>
                </c:pt>
                <c:pt idx="10">
                  <c:v>4.49</c:v>
                </c:pt>
                <c:pt idx="11">
                  <c:v>4.68</c:v>
                </c:pt>
                <c:pt idx="12">
                  <c:v>5.19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D0-6146-BBFF-205E6199F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365535"/>
        <c:axId val="671379359"/>
      </c:scatterChart>
      <c:valAx>
        <c:axId val="671365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71379359"/>
        <c:crosses val="autoZero"/>
        <c:crossBetween val="midCat"/>
      </c:valAx>
      <c:valAx>
        <c:axId val="67137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71365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647700</xdr:colOff>
      <xdr:row>7</xdr:row>
      <xdr:rowOff>158750</xdr:rowOff>
    </xdr:from>
    <xdr:to>
      <xdr:col>19</xdr:col>
      <xdr:colOff>266700</xdr:colOff>
      <xdr:row>21</xdr:row>
      <xdr:rowOff>57150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62E4255-17D9-2C33-E897-9F73A8C7A4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AD392-25B9-DA4E-80D2-82A1A1EDAB29}">
  <dimension ref="C4:K30"/>
  <sheetViews>
    <sheetView tabSelected="1" workbookViewId="0">
      <selection activeCell="L12" sqref="L12:L18"/>
    </sheetView>
  </sheetViews>
  <sheetFormatPr baseColWidth="10" defaultRowHeight="16" x14ac:dyDescent="0.2"/>
  <sheetData>
    <row r="4" spans="3:9" x14ac:dyDescent="0.2">
      <c r="D4" t="s">
        <v>0</v>
      </c>
      <c r="E4" t="s">
        <v>1</v>
      </c>
    </row>
    <row r="5" spans="3:9" x14ac:dyDescent="0.2">
      <c r="C5">
        <v>1</v>
      </c>
      <c r="D5">
        <v>1.1000000000000001</v>
      </c>
      <c r="E5">
        <v>0.38</v>
      </c>
    </row>
    <row r="6" spans="3:9" x14ac:dyDescent="0.2">
      <c r="C6">
        <v>2</v>
      </c>
      <c r="D6">
        <v>1.86</v>
      </c>
      <c r="E6">
        <v>0.64</v>
      </c>
    </row>
    <row r="7" spans="3:9" x14ac:dyDescent="0.2">
      <c r="C7">
        <v>3</v>
      </c>
      <c r="D7">
        <v>3.01</v>
      </c>
      <c r="E7">
        <v>1.04</v>
      </c>
    </row>
    <row r="8" spans="3:9" x14ac:dyDescent="0.2">
      <c r="C8">
        <v>4</v>
      </c>
      <c r="D8">
        <v>5.03</v>
      </c>
      <c r="E8">
        <v>1.84</v>
      </c>
      <c r="H8" cm="1">
        <f t="array" ref="H8:I12">LINEST(E5:E17,D5:D17,TRUE,TRUE)</f>
        <v>0.34802527285272755</v>
      </c>
      <c r="I8">
        <v>5.5591497416584978E-3</v>
      </c>
    </row>
    <row r="9" spans="3:9" x14ac:dyDescent="0.2">
      <c r="C9">
        <v>5</v>
      </c>
      <c r="D9">
        <v>6.69</v>
      </c>
      <c r="E9">
        <v>2.33</v>
      </c>
      <c r="H9">
        <v>1.88435109105217E-3</v>
      </c>
      <c r="I9">
        <v>1.7432487514740982E-2</v>
      </c>
    </row>
    <row r="10" spans="3:9" x14ac:dyDescent="0.2">
      <c r="C10">
        <v>6</v>
      </c>
      <c r="D10">
        <v>7.67</v>
      </c>
      <c r="E10">
        <v>2.67</v>
      </c>
      <c r="H10">
        <v>0.99967762990984621</v>
      </c>
      <c r="I10">
        <v>2.9219310444194117E-2</v>
      </c>
    </row>
    <row r="11" spans="3:9" x14ac:dyDescent="0.2">
      <c r="C11">
        <v>7</v>
      </c>
      <c r="D11">
        <v>8.65</v>
      </c>
      <c r="E11">
        <v>2.98</v>
      </c>
      <c r="H11">
        <v>34111.272307431769</v>
      </c>
      <c r="I11">
        <v>11</v>
      </c>
    </row>
    <row r="12" spans="3:9" x14ac:dyDescent="0.2">
      <c r="C12">
        <v>8</v>
      </c>
      <c r="D12">
        <v>9.51</v>
      </c>
      <c r="E12">
        <v>3.31</v>
      </c>
      <c r="H12">
        <v>29.123116243176515</v>
      </c>
      <c r="I12">
        <v>9.3914491311761061E-3</v>
      </c>
    </row>
    <row r="13" spans="3:9" x14ac:dyDescent="0.2">
      <c r="C13">
        <v>9</v>
      </c>
      <c r="D13">
        <v>10.49</v>
      </c>
      <c r="E13">
        <v>3.65</v>
      </c>
    </row>
    <row r="14" spans="3:9" x14ac:dyDescent="0.2">
      <c r="C14">
        <v>10</v>
      </c>
      <c r="D14">
        <v>11.3</v>
      </c>
      <c r="E14">
        <v>3.93</v>
      </c>
    </row>
    <row r="15" spans="3:9" x14ac:dyDescent="0.2">
      <c r="C15">
        <v>11</v>
      </c>
      <c r="D15">
        <v>12.91</v>
      </c>
      <c r="E15">
        <v>4.49</v>
      </c>
    </row>
    <row r="16" spans="3:9" x14ac:dyDescent="0.2">
      <c r="C16">
        <v>12</v>
      </c>
      <c r="D16">
        <v>13.42</v>
      </c>
      <c r="E16">
        <v>4.68</v>
      </c>
    </row>
    <row r="17" spans="3:11" x14ac:dyDescent="0.2">
      <c r="C17">
        <v>13</v>
      </c>
      <c r="D17">
        <v>14.84</v>
      </c>
      <c r="E17">
        <v>5.19</v>
      </c>
    </row>
    <row r="22" spans="3:11" x14ac:dyDescent="0.2">
      <c r="C22" t="s">
        <v>2</v>
      </c>
      <c r="D22" t="s">
        <v>1</v>
      </c>
      <c r="E22" t="s">
        <v>3</v>
      </c>
      <c r="G22" t="s">
        <v>7</v>
      </c>
      <c r="I22" t="s">
        <v>8</v>
      </c>
    </row>
    <row r="23" spans="3:11" x14ac:dyDescent="0.2">
      <c r="C23">
        <v>3.3</v>
      </c>
      <c r="D23">
        <v>1.0660000000000001</v>
      </c>
      <c r="E23">
        <v>2.2000000000000002</v>
      </c>
      <c r="G23">
        <f>(D23*E23)/(C23-D23)</f>
        <v>1.0497761862130708</v>
      </c>
      <c r="I23">
        <f>(H8*E23)/(1-H8)</f>
        <v>1.1743639260775351</v>
      </c>
      <c r="K23">
        <f>I23-G23</f>
        <v>0.12458773986446436</v>
      </c>
    </row>
    <row r="24" spans="3:11" x14ac:dyDescent="0.2">
      <c r="C24">
        <v>1E-3</v>
      </c>
      <c r="D24">
        <v>1E-3</v>
      </c>
      <c r="E24">
        <v>1E-3</v>
      </c>
    </row>
    <row r="25" spans="3:11" x14ac:dyDescent="0.2">
      <c r="D25">
        <f>D24/SQRT(3)</f>
        <v>5.773502691896258E-4</v>
      </c>
    </row>
    <row r="26" spans="3:11" x14ac:dyDescent="0.2">
      <c r="C26" t="s">
        <v>4</v>
      </c>
      <c r="D26" t="s">
        <v>5</v>
      </c>
      <c r="E26" t="s">
        <v>6</v>
      </c>
    </row>
    <row r="27" spans="3:11" x14ac:dyDescent="0.2">
      <c r="C27">
        <f>ABS(((D23*E23)/(C23-D23)^2)*C24)</f>
        <v>4.6990876732903798E-4</v>
      </c>
      <c r="D27">
        <f>ABS(E23*((1/(C23-D23))+(D23/(C23-D23)^2))*D25)</f>
        <v>8.3986533389263747E-4</v>
      </c>
      <c r="E27">
        <f>ABS((D23/(C23-D23))*E24)</f>
        <v>4.77170993733214E-4</v>
      </c>
      <c r="G27">
        <f>SUM(C27:E27)</f>
        <v>1.7869450949548895E-3</v>
      </c>
      <c r="I27">
        <f>ABS((2.2/(1-H8)^2)*H9)</f>
        <v>9.7526577042839728E-3</v>
      </c>
      <c r="K27">
        <f>SQRT(I27^2+D27^2)</f>
        <v>9.7887540614729988E-3</v>
      </c>
    </row>
    <row r="30" spans="3:11" x14ac:dyDescent="0.2">
      <c r="G30">
        <f>(ABS(G23-1.2)/(D27))</f>
        <v>178.86654886762207</v>
      </c>
      <c r="I30">
        <f>(ABS(I23-1.2)/I27)</f>
        <v>2.6286243914009053</v>
      </c>
      <c r="K30">
        <f>K23/K27</f>
        <v>12.72764021672811</v>
      </c>
    </row>
  </sheetData>
  <sortState xmlns:xlrd2="http://schemas.microsoft.com/office/spreadsheetml/2017/richdata2" ref="D5:D17">
    <sortCondition ref="D5:D17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Olaf Bukowski</dc:creator>
  <cp:lastModifiedBy>Olaf Bukowski</cp:lastModifiedBy>
  <dcterms:created xsi:type="dcterms:W3CDTF">2026-10-05T14:49:45Z</dcterms:created>
  <dcterms:modified xsi:type="dcterms:W3CDTF">2026-10-16T04:01:47Z</dcterms:modified>
</cp:coreProperties>
</file>