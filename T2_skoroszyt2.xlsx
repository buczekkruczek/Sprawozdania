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5"/>
  <workbookPr showInkAnnotation="0" defaultThemeVersion="202300"/>
  <mc:AlternateContent xmlns:mc="http://schemas.openxmlformats.org/markup-compatibility/2006">
    <mc:Choice Requires="x15">
      <x15ac:absPath xmlns:x15ac="http://schemas.microsoft.com/office/spreadsheetml/2010/11/ac" url="/Users/serekparowka/Documents/Studia/I pracownia fizyczna/skoroszyty/"/>
    </mc:Choice>
  </mc:AlternateContent>
  <xr:revisionPtr revIDLastSave="0" documentId="8_{F5E0826F-E629-1C4B-A0C4-B0290FF0F469}" xr6:coauthVersionLast="47" xr6:coauthVersionMax="47" xr10:uidLastSave="{00000000-0000-0000-0000-000000000000}"/>
  <bookViews>
    <workbookView xWindow="0" yWindow="500" windowWidth="40220" windowHeight="22540" xr2:uid="{00000000-000D-0000-FFFF-FFFF00000000}"/>
  </bookViews>
  <sheets>
    <sheet name="Arkusz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O17" i="1" l="1"/>
  <c r="Q15" i="1"/>
  <c r="O18" i="1"/>
  <c r="C8" i="1"/>
  <c r="B8" i="1"/>
  <c r="K27" i="1"/>
  <c r="K26" i="1"/>
  <c r="K25" i="1"/>
  <c r="O19" i="1"/>
  <c r="O21" i="1"/>
  <c r="K22" i="1"/>
  <c r="O16" i="1"/>
  <c r="O15" i="1"/>
  <c r="J14" i="1" a="1"/>
  <c r="D8" i="1"/>
  <c r="E8" i="1"/>
  <c r="F8" i="1"/>
  <c r="G8" i="1"/>
  <c r="H8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D7" i="1"/>
  <c r="E7" i="1"/>
  <c r="F7" i="1"/>
  <c r="G7" i="1"/>
  <c r="H7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B7" i="1"/>
  <c r="C7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<sst xmlns="http://schemas.openxmlformats.org/spreadsheetml/2006/main" count="14" uniqueCount="13">
  <si>
    <t>T</t>
  </si>
  <si>
    <t>mm</t>
  </si>
  <si>
    <t>surowe dane</t>
  </si>
  <si>
    <t>Delta mm</t>
  </si>
  <si>
    <t>u(l)</t>
  </si>
  <si>
    <t>u(h)</t>
  </si>
  <si>
    <t>u(a)</t>
  </si>
  <si>
    <t>u(alfa)</t>
  </si>
  <si>
    <t>r</t>
  </si>
  <si>
    <t>t</t>
  </si>
  <si>
    <t>zmiany w bibliografi</t>
  </si>
  <si>
    <t>strony</t>
  </si>
  <si>
    <t>u(p)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</si>
</sst>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2.6529527559055119E-2"/>
                  <c:y val="-7.2783974919801694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l-PL"/>
                </a:p>
              </c:txPr>
            </c:trendlineLbl>
          </c:trendline>
          <c:xVal>
            <c:numRef>
              <c:f>Arkusz1!$B$6:$V$6</c:f>
              <c:numCache>
                <c:formatCode>General</c:formatCode>
                <c:ptCount val="21"/>
                <c:pt idx="0">
                  <c:v>0</c:v>
                </c:pt>
                <c:pt idx="1">
                  <c:v>5</c:v>
                </c:pt>
                <c:pt idx="2">
                  <c:v>10.5</c:v>
                </c:pt>
                <c:pt idx="3">
                  <c:v>15.25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  <c:pt idx="18">
                  <c:v>90</c:v>
                </c:pt>
                <c:pt idx="19">
                  <c:v>95</c:v>
                </c:pt>
                <c:pt idx="20">
                  <c:v>99</c:v>
                </c:pt>
              </c:numCache>
            </c:numRef>
          </c:xVal>
          <c:yVal>
            <c:numRef>
              <c:f>Arkusz1!$B$8:$V$8</c:f>
              <c:numCache>
                <c:formatCode>General</c:formatCode>
                <c:ptCount val="21"/>
                <c:pt idx="0">
                  <c:v>750</c:v>
                </c:pt>
                <c:pt idx="1">
                  <c:v>766</c:v>
                </c:pt>
                <c:pt idx="2">
                  <c:v>780</c:v>
                </c:pt>
                <c:pt idx="3">
                  <c:v>792</c:v>
                </c:pt>
                <c:pt idx="4">
                  <c:v>806</c:v>
                </c:pt>
                <c:pt idx="5">
                  <c:v>816.3</c:v>
                </c:pt>
                <c:pt idx="6">
                  <c:v>833</c:v>
                </c:pt>
                <c:pt idx="7">
                  <c:v>846</c:v>
                </c:pt>
                <c:pt idx="8">
                  <c:v>862</c:v>
                </c:pt>
                <c:pt idx="9">
                  <c:v>866.8</c:v>
                </c:pt>
                <c:pt idx="10">
                  <c:v>886.2</c:v>
                </c:pt>
                <c:pt idx="11">
                  <c:v>896.5</c:v>
                </c:pt>
                <c:pt idx="12">
                  <c:v>906.6</c:v>
                </c:pt>
                <c:pt idx="13">
                  <c:v>926.2</c:v>
                </c:pt>
                <c:pt idx="14">
                  <c:v>936.5</c:v>
                </c:pt>
                <c:pt idx="15">
                  <c:v>946.9</c:v>
                </c:pt>
                <c:pt idx="16">
                  <c:v>966.2</c:v>
                </c:pt>
                <c:pt idx="17">
                  <c:v>976.7</c:v>
                </c:pt>
                <c:pt idx="18">
                  <c:v>986.8</c:v>
                </c:pt>
                <c:pt idx="19">
                  <c:v>1007</c:v>
                </c:pt>
                <c:pt idx="20">
                  <c:v>1016.3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D61-C547-8C8E-F483CF43E4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53867535"/>
        <c:axId val="1553869247"/>
      </c:scatterChart>
      <c:valAx>
        <c:axId val="15538675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553869247"/>
        <c:crosses val="autoZero"/>
        <c:crossBetween val="midCat"/>
      </c:valAx>
      <c:valAx>
        <c:axId val="15538692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55386753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603250</xdr:colOff>
      <xdr:row>21</xdr:row>
      <xdr:rowOff>152400</xdr:rowOff>
    </xdr:from>
    <xdr:to>
      <xdr:col>21</xdr:col>
      <xdr:colOff>463550</xdr:colOff>
      <xdr:row>36</xdr:row>
      <xdr:rowOff>38100</xdr:rowOff>
    </xdr:to>
    <xdr:graphicFrame macro="">
      <xdr:nvGraphicFramePr>
        <xdr:cNvPr id="3" name="Wykres 2">
          <a:extLst>
            <a:ext uri="{FF2B5EF4-FFF2-40B4-BE49-F238E27FC236}">
              <a16:creationId xmlns:a16="http://schemas.microsoft.com/office/drawing/2014/main" id="{CCCAC544-FBDC-04BF-3AAD-D9CD6922090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22E3D7-48FE-F448-8552-AF8BCF3FE2C0}">
  <dimension ref="B3:V33"/>
  <sheetViews>
    <sheetView tabSelected="1" topLeftCell="F8" zoomScaleNormal="150" zoomScaleSheetLayoutView="100" workbookViewId="0">
      <selection activeCell="O18" sqref="O18"/>
    </sheetView>
  </sheetViews>
  <sheetFormatPr defaultColWidth="8.875" defaultRowHeight="15" x14ac:dyDescent="0.2"/>
  <cols>
    <col min="1" max="1" width="11.703125" customWidth="1"/>
    <col min="15" max="15" width="12.10546875" bestFit="1" customWidth="1"/>
  </cols>
  <sheetData>
    <row r="3" spans="2:22" x14ac:dyDescent="0.2">
      <c r="E3">
        <v>750</v>
      </c>
    </row>
    <row r="4" spans="2:22" x14ac:dyDescent="0.2">
      <c r="B4">
        <v>284</v>
      </c>
      <c r="C4">
        <v>300</v>
      </c>
      <c r="D4">
        <v>314</v>
      </c>
      <c r="E4">
        <v>326</v>
      </c>
      <c r="F4">
        <v>340</v>
      </c>
      <c r="G4">
        <v>350.3</v>
      </c>
      <c r="H4">
        <v>367</v>
      </c>
      <c r="I4">
        <v>380</v>
      </c>
      <c r="J4">
        <v>396</v>
      </c>
      <c r="K4">
        <v>400.8</v>
      </c>
      <c r="L4">
        <v>420.2</v>
      </c>
      <c r="M4">
        <v>430.5</v>
      </c>
      <c r="N4">
        <v>440.6</v>
      </c>
      <c r="O4">
        <v>460.2</v>
      </c>
      <c r="P4">
        <v>470.5</v>
      </c>
      <c r="Q4">
        <v>480.9</v>
      </c>
      <c r="R4">
        <v>500.2</v>
      </c>
      <c r="S4">
        <v>510.7</v>
      </c>
      <c r="T4">
        <v>520.79999999999995</v>
      </c>
      <c r="U4">
        <v>541</v>
      </c>
      <c r="V4">
        <v>550.29999999999995</v>
      </c>
    </row>
    <row r="5" spans="2:22" x14ac:dyDescent="0.2">
      <c r="B5" t="s">
        <v>0</v>
      </c>
    </row>
    <row r="6" spans="2:22" x14ac:dyDescent="0.2">
      <c r="B6">
        <v>0</v>
      </c>
      <c r="C6">
        <v>5</v>
      </c>
      <c r="D6">
        <v>10.5</v>
      </c>
      <c r="E6">
        <v>15.25</v>
      </c>
      <c r="F6">
        <v>20</v>
      </c>
      <c r="G6">
        <v>25</v>
      </c>
      <c r="H6">
        <v>30</v>
      </c>
      <c r="I6">
        <v>35</v>
      </c>
      <c r="J6">
        <v>40</v>
      </c>
      <c r="K6">
        <v>45</v>
      </c>
      <c r="L6">
        <v>50</v>
      </c>
      <c r="M6">
        <v>55</v>
      </c>
      <c r="N6">
        <v>60</v>
      </c>
      <c r="O6">
        <v>65</v>
      </c>
      <c r="P6">
        <v>70</v>
      </c>
      <c r="Q6">
        <v>75</v>
      </c>
      <c r="R6">
        <v>80</v>
      </c>
      <c r="S6">
        <v>85</v>
      </c>
      <c r="T6">
        <v>90</v>
      </c>
      <c r="U6">
        <v>95</v>
      </c>
      <c r="V6">
        <v>99</v>
      </c>
    </row>
    <row r="7" spans="2:22" x14ac:dyDescent="0.2">
      <c r="B7">
        <f>B4-$B$4</f>
        <v>0</v>
      </c>
      <c r="C7">
        <f>C4-$B$4</f>
        <v>16</v>
      </c>
      <c r="D7">
        <f t="shared" ref="D7:V7" si="0">D4-$B$4</f>
        <v>30</v>
      </c>
      <c r="E7">
        <f t="shared" si="0"/>
        <v>42</v>
      </c>
      <c r="F7">
        <f t="shared" si="0"/>
        <v>56</v>
      </c>
      <c r="G7">
        <f t="shared" si="0"/>
        <v>66.300000000000011</v>
      </c>
      <c r="H7">
        <f t="shared" si="0"/>
        <v>83</v>
      </c>
      <c r="I7">
        <f t="shared" si="0"/>
        <v>96</v>
      </c>
      <c r="J7">
        <f t="shared" si="0"/>
        <v>112</v>
      </c>
      <c r="K7">
        <f t="shared" si="0"/>
        <v>116.80000000000001</v>
      </c>
      <c r="L7">
        <f t="shared" si="0"/>
        <v>136.19999999999999</v>
      </c>
      <c r="M7">
        <f t="shared" si="0"/>
        <v>146.5</v>
      </c>
      <c r="N7">
        <f t="shared" si="0"/>
        <v>156.60000000000002</v>
      </c>
      <c r="O7">
        <f t="shared" si="0"/>
        <v>176.2</v>
      </c>
      <c r="P7">
        <f t="shared" si="0"/>
        <v>186.5</v>
      </c>
      <c r="Q7">
        <f t="shared" si="0"/>
        <v>196.89999999999998</v>
      </c>
      <c r="R7">
        <f t="shared" si="0"/>
        <v>216.2</v>
      </c>
      <c r="S7">
        <f t="shared" si="0"/>
        <v>226.7</v>
      </c>
      <c r="T7">
        <f t="shared" si="0"/>
        <v>236.79999999999995</v>
      </c>
      <c r="U7">
        <f t="shared" si="0"/>
        <v>257</v>
      </c>
      <c r="V7">
        <f t="shared" si="0"/>
        <v>266.29999999999995</v>
      </c>
    </row>
    <row r="8" spans="2:22" x14ac:dyDescent="0.2">
      <c r="B8">
        <f>$E$3+B7</f>
        <v>750</v>
      </c>
      <c r="C8">
        <f>$E$3+C7</f>
        <v>766</v>
      </c>
      <c r="D8">
        <f t="shared" ref="C8:V8" si="1">$E$3+D7</f>
        <v>780</v>
      </c>
      <c r="E8">
        <f t="shared" si="1"/>
        <v>792</v>
      </c>
      <c r="F8">
        <f t="shared" si="1"/>
        <v>806</v>
      </c>
      <c r="G8">
        <f t="shared" si="1"/>
        <v>816.3</v>
      </c>
      <c r="H8">
        <f t="shared" si="1"/>
        <v>833</v>
      </c>
      <c r="I8">
        <f t="shared" si="1"/>
        <v>846</v>
      </c>
      <c r="J8">
        <f t="shared" si="1"/>
        <v>862</v>
      </c>
      <c r="K8">
        <f t="shared" si="1"/>
        <v>866.8</v>
      </c>
      <c r="L8">
        <f t="shared" si="1"/>
        <v>886.2</v>
      </c>
      <c r="M8">
        <f t="shared" si="1"/>
        <v>896.5</v>
      </c>
      <c r="N8">
        <f t="shared" si="1"/>
        <v>906.6</v>
      </c>
      <c r="O8">
        <f t="shared" si="1"/>
        <v>926.2</v>
      </c>
      <c r="P8">
        <f t="shared" si="1"/>
        <v>936.5</v>
      </c>
      <c r="Q8">
        <f t="shared" si="1"/>
        <v>946.9</v>
      </c>
      <c r="R8">
        <f t="shared" si="1"/>
        <v>966.2</v>
      </c>
      <c r="S8">
        <f t="shared" si="1"/>
        <v>976.7</v>
      </c>
      <c r="T8">
        <f t="shared" si="1"/>
        <v>986.8</v>
      </c>
      <c r="U8">
        <f t="shared" si="1"/>
        <v>1007</v>
      </c>
      <c r="V8">
        <f t="shared" si="1"/>
        <v>1016.3</v>
      </c>
    </row>
    <row r="11" spans="2:22" x14ac:dyDescent="0.2">
      <c r="F11" t="s">
        <v>2</v>
      </c>
    </row>
    <row r="12" spans="2:22" x14ac:dyDescent="0.2">
      <c r="F12" t="s">
        <v>0</v>
      </c>
      <c r="G12" t="s">
        <v>1</v>
      </c>
    </row>
    <row r="13" spans="2:22" x14ac:dyDescent="0.2">
      <c r="B13">
        <v>0</v>
      </c>
      <c r="C13">
        <v>750</v>
      </c>
      <c r="E13">
        <v>1</v>
      </c>
      <c r="F13">
        <v>0</v>
      </c>
      <c r="G13">
        <v>284</v>
      </c>
    </row>
    <row r="14" spans="2:22" x14ac:dyDescent="0.2">
      <c r="B14">
        <v>5</v>
      </c>
      <c r="C14">
        <v>766</v>
      </c>
      <c r="E14">
        <v>2</v>
      </c>
      <c r="F14">
        <v>5</v>
      </c>
      <c r="G14">
        <v>300</v>
      </c>
      <c r="J14" cm="1">
        <f t="array" ref="J14:K18">LINEST(B8:V8,B6:V6,TRUE,TRUE)</f>
        <v>2.6515280444921072</v>
      </c>
      <c r="K14">
        <v>751.74087787116252</v>
      </c>
      <c r="N14" t="s">
        <v>3</v>
      </c>
      <c r="O14">
        <v>0.1</v>
      </c>
      <c r="Q14">
        <v>1</v>
      </c>
      <c r="S14" t="s">
        <v>10</v>
      </c>
      <c r="U14" t="s">
        <v>11</v>
      </c>
    </row>
    <row r="15" spans="2:22" x14ac:dyDescent="0.2">
      <c r="B15">
        <v>10.5</v>
      </c>
      <c r="C15">
        <v>780</v>
      </c>
      <c r="E15">
        <v>3</v>
      </c>
      <c r="F15">
        <v>10.5</v>
      </c>
      <c r="G15">
        <v>314</v>
      </c>
      <c r="J15">
        <v>1.8567497735123839E-2</v>
      </c>
      <c r="K15">
        <v>1.0839409853327528</v>
      </c>
      <c r="N15" t="s">
        <v>4</v>
      </c>
      <c r="O15">
        <f>O14/SQRT(3)</f>
        <v>5.7735026918962581E-2</v>
      </c>
      <c r="Q15">
        <f>Q14/SQRT(3)</f>
        <v>0.57735026918962584</v>
      </c>
    </row>
    <row r="16" spans="2:22" x14ac:dyDescent="0.2">
      <c r="B16">
        <v>15.25</v>
      </c>
      <c r="C16">
        <v>792</v>
      </c>
      <c r="E16">
        <v>4</v>
      </c>
      <c r="F16">
        <v>15.25</v>
      </c>
      <c r="G16">
        <v>326</v>
      </c>
      <c r="J16">
        <v>0.99906918478367202</v>
      </c>
      <c r="K16">
        <v>2.5656633623825154</v>
      </c>
      <c r="N16" t="s">
        <v>5</v>
      </c>
      <c r="O16">
        <f>SQRT(2)*O15</f>
        <v>8.1649658092772609E-2</v>
      </c>
    </row>
    <row r="17" spans="2:15" x14ac:dyDescent="0.2">
      <c r="B17">
        <v>20</v>
      </c>
      <c r="C17">
        <v>806</v>
      </c>
      <c r="E17">
        <v>5</v>
      </c>
      <c r="F17">
        <v>20</v>
      </c>
      <c r="G17">
        <v>340</v>
      </c>
      <c r="J17">
        <v>20393.214655186955</v>
      </c>
      <c r="K17">
        <v>19</v>
      </c>
      <c r="N17" t="s">
        <v>12</v>
      </c>
      <c r="O17">
        <f>SQRT(SUMSQ(O16,Q15))</f>
        <v>0.5830951894845301</v>
      </c>
    </row>
    <row r="18" spans="2:15" x14ac:dyDescent="0.2">
      <c r="B18">
        <v>25</v>
      </c>
      <c r="C18">
        <v>816.3</v>
      </c>
      <c r="E18">
        <v>6</v>
      </c>
      <c r="F18">
        <v>25</v>
      </c>
      <c r="G18">
        <v>350.3</v>
      </c>
      <c r="J18">
        <v>134240.95577299336</v>
      </c>
      <c r="K18">
        <v>125.06994129236715</v>
      </c>
      <c r="N18" t="s">
        <v>6</v>
      </c>
      <c r="O18">
        <f>SQRT(SUMSQ(O16,J15))</f>
        <v>8.3734214266394699E-2</v>
      </c>
    </row>
    <row r="19" spans="2:15" x14ac:dyDescent="0.2">
      <c r="B19">
        <v>30</v>
      </c>
      <c r="C19">
        <v>833</v>
      </c>
      <c r="E19">
        <v>7</v>
      </c>
      <c r="F19">
        <v>30</v>
      </c>
      <c r="G19">
        <v>367</v>
      </c>
      <c r="N19" t="s">
        <v>7</v>
      </c>
      <c r="O19">
        <f>SQRT(SUMSQ((1/B8)*J15,((-J14/(B8^2))*O15)))</f>
        <v>2.4758159506694483E-5</v>
      </c>
    </row>
    <row r="20" spans="2:15" x14ac:dyDescent="0.2">
      <c r="B20">
        <v>35</v>
      </c>
      <c r="C20">
        <v>846</v>
      </c>
      <c r="E20">
        <v>8</v>
      </c>
      <c r="F20">
        <v>35</v>
      </c>
      <c r="G20">
        <v>380</v>
      </c>
    </row>
    <row r="21" spans="2:15" x14ac:dyDescent="0.2">
      <c r="B21">
        <v>40</v>
      </c>
      <c r="C21">
        <v>862</v>
      </c>
      <c r="E21">
        <v>9</v>
      </c>
      <c r="F21">
        <v>40</v>
      </c>
      <c r="G21">
        <v>396</v>
      </c>
      <c r="K21">
        <v>3.6608999999999999E-3</v>
      </c>
      <c r="O21">
        <f>ABS(K22-K21)/O19</f>
        <v>5.0702183244510186</v>
      </c>
    </row>
    <row r="22" spans="2:15" x14ac:dyDescent="0.2">
      <c r="B22">
        <v>45</v>
      </c>
      <c r="C22">
        <v>866.8</v>
      </c>
      <c r="E22">
        <v>10</v>
      </c>
      <c r="F22">
        <v>45</v>
      </c>
      <c r="G22">
        <v>400.8</v>
      </c>
      <c r="K22">
        <f>J14/B8</f>
        <v>3.5353707259894764E-3</v>
      </c>
    </row>
    <row r="23" spans="2:15" x14ac:dyDescent="0.2">
      <c r="B23">
        <v>50</v>
      </c>
      <c r="C23">
        <v>886.2</v>
      </c>
      <c r="E23">
        <v>11</v>
      </c>
      <c r="F23">
        <v>50</v>
      </c>
      <c r="G23">
        <v>420.2</v>
      </c>
    </row>
    <row r="24" spans="2:15" x14ac:dyDescent="0.2">
      <c r="B24">
        <v>55</v>
      </c>
      <c r="C24">
        <v>896.5</v>
      </c>
      <c r="E24">
        <v>12</v>
      </c>
      <c r="F24">
        <v>55</v>
      </c>
      <c r="G24">
        <v>430.5</v>
      </c>
    </row>
    <row r="25" spans="2:15" x14ac:dyDescent="0.2">
      <c r="B25">
        <v>60</v>
      </c>
      <c r="C25">
        <v>906.6</v>
      </c>
      <c r="E25">
        <v>13</v>
      </c>
      <c r="F25">
        <v>60</v>
      </c>
      <c r="G25">
        <v>440.6</v>
      </c>
      <c r="J25" t="s">
        <v>8</v>
      </c>
      <c r="K25">
        <f>SQRT(J16)</f>
        <v>0.99953448403928113</v>
      </c>
    </row>
    <row r="26" spans="2:15" x14ac:dyDescent="0.2">
      <c r="B26">
        <v>65</v>
      </c>
      <c r="C26">
        <v>926.2</v>
      </c>
      <c r="E26">
        <v>14</v>
      </c>
      <c r="F26">
        <v>65</v>
      </c>
      <c r="G26">
        <v>460.2</v>
      </c>
      <c r="K26">
        <f>CORREL(B6:V6,B8:V8)</f>
        <v>0.99953448403928113</v>
      </c>
    </row>
    <row r="27" spans="2:15" x14ac:dyDescent="0.2">
      <c r="B27">
        <v>70</v>
      </c>
      <c r="C27">
        <v>936.5</v>
      </c>
      <c r="E27">
        <v>15</v>
      </c>
      <c r="F27">
        <v>70</v>
      </c>
      <c r="G27">
        <v>470.5</v>
      </c>
      <c r="J27" t="s">
        <v>9</v>
      </c>
      <c r="K27">
        <f>(K25*SQRT(19))/(SQRT(1-J16))</f>
        <v>142.80481313732309</v>
      </c>
    </row>
    <row r="28" spans="2:15" x14ac:dyDescent="0.2">
      <c r="B28">
        <v>75</v>
      </c>
      <c r="C28">
        <v>946.9</v>
      </c>
      <c r="E28">
        <v>16</v>
      </c>
      <c r="F28">
        <v>75</v>
      </c>
      <c r="G28">
        <v>480.9</v>
      </c>
    </row>
    <row r="29" spans="2:15" x14ac:dyDescent="0.2">
      <c r="B29">
        <v>80</v>
      </c>
      <c r="C29">
        <v>966.2</v>
      </c>
      <c r="E29">
        <v>17</v>
      </c>
      <c r="F29">
        <v>80</v>
      </c>
      <c r="G29">
        <v>500.2</v>
      </c>
    </row>
    <row r="30" spans="2:15" x14ac:dyDescent="0.2">
      <c r="B30">
        <v>85</v>
      </c>
      <c r="C30">
        <v>976.7</v>
      </c>
      <c r="E30">
        <v>18</v>
      </c>
      <c r="F30">
        <v>85</v>
      </c>
      <c r="G30">
        <v>510.7</v>
      </c>
    </row>
    <row r="31" spans="2:15" x14ac:dyDescent="0.2">
      <c r="B31">
        <v>90</v>
      </c>
      <c r="C31">
        <v>986.8</v>
      </c>
      <c r="E31">
        <v>19</v>
      </c>
      <c r="F31">
        <v>90</v>
      </c>
      <c r="G31">
        <v>520.79999999999995</v>
      </c>
    </row>
    <row r="32" spans="2:15" x14ac:dyDescent="0.2">
      <c r="B32">
        <v>95</v>
      </c>
      <c r="C32">
        <v>1007</v>
      </c>
      <c r="E32">
        <v>20</v>
      </c>
      <c r="F32">
        <v>95</v>
      </c>
      <c r="G32">
        <v>541</v>
      </c>
    </row>
    <row r="33" spans="2:7" x14ac:dyDescent="0.2">
      <c r="B33">
        <v>99</v>
      </c>
      <c r="C33">
        <v>1016.3</v>
      </c>
      <c r="E33">
        <v>21</v>
      </c>
      <c r="F33">
        <v>99</v>
      </c>
      <c r="G33">
        <v>550.29999999999995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Olaf Bukowski</dc:creator>
  <cp:lastModifiedBy>Olaf Bukowski</cp:lastModifiedBy>
  <dcterms:created xsi:type="dcterms:W3CDTF">2026-05-29T09:31:59Z</dcterms:created>
  <dcterms:modified xsi:type="dcterms:W3CDTF">2026-06-08T09:36:29Z</dcterms:modified>
</cp:coreProperties>
</file>