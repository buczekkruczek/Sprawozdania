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ekparowka/Documents/Studia/I pracownia fizyczna/skoroszyty/"/>
    </mc:Choice>
  </mc:AlternateContent>
  <xr:revisionPtr revIDLastSave="0" documentId="13_ncr:1_{63F02424-4C59-AF43-9324-E9E7EE062783}" xr6:coauthVersionLast="47" xr6:coauthVersionMax="47" xr10:uidLastSave="{00000000-0000-0000-0000-000000000000}"/>
  <bookViews>
    <workbookView xWindow="-21300" yWindow="3420" windowWidth="21600" windowHeight="16740" xr2:uid="{99222BF3-2933-914A-AF94-A12E06A2AA4A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 a="1"/>
  <c r="E37" i="1" s="1"/>
  <c r="V33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T34" i="1"/>
  <c r="U34" i="1"/>
  <c r="V34" i="1"/>
  <c r="S31" i="1"/>
  <c r="S24" i="1"/>
  <c r="S25" i="1"/>
  <c r="S26" i="1"/>
  <c r="S27" i="1"/>
  <c r="S28" i="1"/>
  <c r="S29" i="1"/>
  <c r="S30" i="1"/>
  <c r="S32" i="1"/>
  <c r="S33" i="1"/>
  <c r="S34" i="1"/>
  <c r="S23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N24" i="1"/>
  <c r="N25" i="1"/>
  <c r="N26" i="1"/>
  <c r="N27" i="1"/>
  <c r="N28" i="1"/>
  <c r="N29" i="1"/>
  <c r="N30" i="1"/>
  <c r="N31" i="1"/>
  <c r="N32" i="1"/>
  <c r="N33" i="1"/>
  <c r="N34" i="1"/>
  <c r="N23" i="1"/>
  <c r="B50" i="1"/>
  <c r="B51" i="1"/>
  <c r="B37" i="1" a="1"/>
  <c r="B37" i="1" s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I23" i="1"/>
  <c r="I24" i="1"/>
  <c r="I25" i="1"/>
  <c r="I26" i="1"/>
  <c r="I27" i="1"/>
  <c r="I28" i="1"/>
  <c r="I29" i="1"/>
  <c r="I30" i="1"/>
  <c r="I31" i="1"/>
  <c r="I32" i="1"/>
  <c r="I33" i="1"/>
  <c r="I34" i="1"/>
  <c r="I22" i="1"/>
  <c r="H23" i="1"/>
  <c r="H24" i="1"/>
  <c r="H25" i="1"/>
  <c r="H26" i="1"/>
  <c r="H27" i="1"/>
  <c r="H28" i="1"/>
  <c r="H29" i="1"/>
  <c r="H30" i="1"/>
  <c r="H31" i="1"/>
  <c r="H32" i="1"/>
  <c r="H33" i="1"/>
  <c r="H34" i="1"/>
  <c r="H22" i="1"/>
  <c r="K37" i="1" s="1" a="1"/>
  <c r="K37" i="1" s="1"/>
  <c r="E12" i="1"/>
  <c r="F12" i="1"/>
  <c r="G12" i="1"/>
  <c r="H12" i="1"/>
  <c r="I12" i="1"/>
  <c r="J12" i="1"/>
  <c r="K12" i="1"/>
  <c r="L12" i="1"/>
  <c r="M12" i="1"/>
  <c r="N12" i="1"/>
  <c r="O12" i="1"/>
  <c r="D12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D13" i="1"/>
  <c r="E13" i="1"/>
  <c r="F13" i="1"/>
  <c r="G13" i="1"/>
  <c r="H13" i="1"/>
  <c r="I13" i="1"/>
  <c r="J13" i="1"/>
  <c r="K13" i="1"/>
  <c r="L13" i="1"/>
  <c r="M13" i="1"/>
  <c r="N13" i="1"/>
  <c r="O13" i="1"/>
  <c r="C13" i="1"/>
  <c r="H37" i="1" l="1" a="1"/>
  <c r="H3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<sst xmlns="http://schemas.openxmlformats.org/spreadsheetml/2006/main" count="28" uniqueCount="23">
  <si>
    <t>T [°C]</t>
  </si>
  <si>
    <t>l1 [mm]</t>
  </si>
  <si>
    <t>l2 [mm]</t>
  </si>
  <si>
    <t>l3 [mm]</t>
  </si>
  <si>
    <t>l4 [mm]</t>
  </si>
  <si>
    <t>l1/l0 [mm]</t>
  </si>
  <si>
    <t>l2/l0 [mm]</t>
  </si>
  <si>
    <t>l3/l0 [mm]</t>
  </si>
  <si>
    <t>l4/l0 [mm]</t>
  </si>
  <si>
    <t>delta t</t>
  </si>
  <si>
    <t>\cellcolor{ngrey2}0</t>
  </si>
  <si>
    <t>\cellcolor{ngrey2}1</t>
  </si>
  <si>
    <t>\cellcolor{ngrey2}2</t>
  </si>
  <si>
    <t>\cellcolor{ngrey2}3</t>
  </si>
  <si>
    <t>\cellcolor{ngrey2}4</t>
  </si>
  <si>
    <t>\cellcolor{ngrey2}5</t>
  </si>
  <si>
    <t>\cellcolor{ngrey2}6</t>
  </si>
  <si>
    <t>\cellcolor{ngrey2}7</t>
  </si>
  <si>
    <t>\cellcolor{ngrey2}8</t>
  </si>
  <si>
    <t>\cellcolor{ngrey2}9</t>
  </si>
  <si>
    <t>\cellcolor{ngrey2}10</t>
  </si>
  <si>
    <t>\cellcolor{ngrey2}11</t>
  </si>
  <si>
    <t>\cellcolor{ngrey2}12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</si>
</sst>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0.00000000"/>
    <numFmt numFmtId="170" formatCode="0.000000000"/>
    <numFmt numFmtId="171" formatCode="0.000"/>
  </numFmts>
  <fonts count="3" x14ac:knownFonts="1">
    <font>
      <sz val="12"/>
      <color theme="1"/>
      <name val="Aptos Narrow"/>
      <family val="2"/>
      <charset val="238"/>
      <scheme val="minor"/>
    </font>
    <font>
      <sz val="10"/>
      <color theme="1"/>
      <name val="Arial"/>
      <family val="2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7DE4-43FE-EB4D-8186-C9AAED6B6234}">
  <dimension ref="A3:V61"/>
  <sheetViews>
    <sheetView tabSelected="1" topLeftCell="A22" workbookViewId="0">
      <selection activeCell="N26" sqref="N26"/>
    </sheetView>
  </sheetViews>
  <sheetFormatPr baseColWidth="10" defaultRowHeight="16" x14ac:dyDescent="0.2"/>
  <cols>
    <col min="2" max="2" width="12.1640625" bestFit="1" customWidth="1"/>
    <col min="5" max="5" width="12.1640625" bestFit="1" customWidth="1"/>
    <col min="8" max="8" width="12.1640625" bestFit="1" customWidth="1"/>
    <col min="10" max="10" width="16" customWidth="1"/>
    <col min="11" max="11" width="12.1640625" bestFit="1" customWidth="1"/>
    <col min="19" max="19" width="11.6640625" bestFit="1" customWidth="1"/>
    <col min="22" max="22" width="11.6640625" bestFit="1" customWidth="1"/>
  </cols>
  <sheetData>
    <row r="3" spans="2:15" x14ac:dyDescent="0.2">
      <c r="B3" s="1" t="s">
        <v>0</v>
      </c>
      <c r="C3" s="1">
        <v>20</v>
      </c>
      <c r="D3" s="1">
        <v>25</v>
      </c>
      <c r="E3" s="1">
        <v>30</v>
      </c>
      <c r="F3" s="1">
        <v>35</v>
      </c>
      <c r="G3" s="1">
        <v>40</v>
      </c>
      <c r="H3" s="1">
        <v>45</v>
      </c>
      <c r="I3" s="1">
        <v>50</v>
      </c>
      <c r="J3" s="1">
        <v>55</v>
      </c>
      <c r="K3" s="1">
        <v>60</v>
      </c>
      <c r="L3" s="1">
        <v>65</v>
      </c>
      <c r="M3" s="1">
        <v>70</v>
      </c>
      <c r="N3" s="1">
        <v>75</v>
      </c>
      <c r="O3" s="1">
        <v>80</v>
      </c>
    </row>
    <row r="4" spans="2:15" x14ac:dyDescent="0.2">
      <c r="B4" s="1" t="s">
        <v>1</v>
      </c>
      <c r="C4" s="1">
        <v>0</v>
      </c>
      <c r="D4" s="1">
        <v>0.08</v>
      </c>
      <c r="E4" s="1">
        <v>0.17</v>
      </c>
      <c r="F4" s="1">
        <v>0.25</v>
      </c>
      <c r="G4" s="1">
        <v>0.33</v>
      </c>
      <c r="H4" s="1">
        <v>0.4</v>
      </c>
      <c r="I4" s="1">
        <v>0.48</v>
      </c>
      <c r="J4" s="1">
        <v>0.57999999999999996</v>
      </c>
      <c r="K4" s="1">
        <v>0.65</v>
      </c>
      <c r="L4" s="1">
        <v>0.75</v>
      </c>
      <c r="M4" s="1">
        <v>0.83</v>
      </c>
      <c r="N4" s="1">
        <v>0.92</v>
      </c>
      <c r="O4" s="1">
        <v>1</v>
      </c>
    </row>
    <row r="5" spans="2:15" x14ac:dyDescent="0.2">
      <c r="B5" s="1" t="s">
        <v>2</v>
      </c>
      <c r="C5" s="1">
        <v>0</v>
      </c>
      <c r="D5" s="1">
        <v>0.05</v>
      </c>
      <c r="E5" s="1">
        <v>0.1</v>
      </c>
      <c r="F5" s="1">
        <v>0.14000000000000001</v>
      </c>
      <c r="G5" s="1">
        <v>0.18</v>
      </c>
      <c r="H5" s="1">
        <v>0.22</v>
      </c>
      <c r="I5" s="1">
        <v>0.26</v>
      </c>
      <c r="J5" s="1">
        <v>0.3</v>
      </c>
      <c r="K5" s="1">
        <v>0.35</v>
      </c>
      <c r="L5" s="1">
        <v>0.39</v>
      </c>
      <c r="M5" s="1">
        <v>0.43</v>
      </c>
      <c r="N5" s="1">
        <v>0.47</v>
      </c>
      <c r="O5" s="1">
        <v>0.51</v>
      </c>
    </row>
    <row r="6" spans="2:15" x14ac:dyDescent="0.2">
      <c r="B6" s="1" t="s">
        <v>3</v>
      </c>
      <c r="C6" s="1">
        <v>0</v>
      </c>
      <c r="D6" s="1">
        <v>0.05</v>
      </c>
      <c r="E6" s="1">
        <v>0.11</v>
      </c>
      <c r="F6" s="1">
        <v>0.22</v>
      </c>
      <c r="G6" s="1">
        <v>0.22</v>
      </c>
      <c r="H6" s="1">
        <v>0.28000000000000003</v>
      </c>
      <c r="I6" s="1">
        <v>0.33</v>
      </c>
      <c r="J6" s="1">
        <v>0.38</v>
      </c>
      <c r="K6" s="1">
        <v>0.44</v>
      </c>
      <c r="L6" s="1">
        <v>0.51</v>
      </c>
      <c r="M6" s="1">
        <v>0.56000000000000005</v>
      </c>
      <c r="N6" s="1">
        <v>0.62</v>
      </c>
      <c r="O6" s="1">
        <v>0.67</v>
      </c>
    </row>
    <row r="7" spans="2:15" x14ac:dyDescent="0.2">
      <c r="B7" s="1" t="s">
        <v>4</v>
      </c>
      <c r="C7" s="1">
        <v>0</v>
      </c>
      <c r="D7" s="1">
        <v>7.0000000000000007E-2</v>
      </c>
      <c r="E7" s="1">
        <v>0.14000000000000001</v>
      </c>
      <c r="F7" s="1">
        <v>0.21</v>
      </c>
      <c r="G7" s="1">
        <v>0.28000000000000003</v>
      </c>
      <c r="H7" s="1">
        <v>0.34</v>
      </c>
      <c r="I7" s="1">
        <v>0.40500000000000003</v>
      </c>
      <c r="J7" s="1">
        <v>0.48</v>
      </c>
      <c r="K7" s="1">
        <v>0.54</v>
      </c>
      <c r="L7" s="1">
        <v>0.6</v>
      </c>
      <c r="M7" s="1">
        <v>0.68</v>
      </c>
      <c r="N7" s="1">
        <v>0.74</v>
      </c>
      <c r="O7" s="1">
        <v>0.81</v>
      </c>
    </row>
    <row r="9" spans="2:15" x14ac:dyDescent="0.2">
      <c r="B9">
        <v>720</v>
      </c>
    </row>
    <row r="12" spans="2:15" x14ac:dyDescent="0.2">
      <c r="B12" s="1" t="s">
        <v>9</v>
      </c>
      <c r="C12" s="1">
        <v>0</v>
      </c>
      <c r="D12" s="1">
        <f>D3-$C$3</f>
        <v>5</v>
      </c>
      <c r="E12" s="1">
        <f t="shared" ref="E12:O12" si="0">E3-$C$3</f>
        <v>10</v>
      </c>
      <c r="F12" s="1">
        <f t="shared" si="0"/>
        <v>15</v>
      </c>
      <c r="G12" s="1">
        <f t="shared" si="0"/>
        <v>20</v>
      </c>
      <c r="H12" s="1">
        <f t="shared" si="0"/>
        <v>25</v>
      </c>
      <c r="I12" s="1">
        <f t="shared" si="0"/>
        <v>30</v>
      </c>
      <c r="J12" s="1">
        <f t="shared" si="0"/>
        <v>35</v>
      </c>
      <c r="K12" s="1">
        <f t="shared" si="0"/>
        <v>40</v>
      </c>
      <c r="L12" s="1">
        <f t="shared" si="0"/>
        <v>45</v>
      </c>
      <c r="M12" s="1">
        <f t="shared" si="0"/>
        <v>50</v>
      </c>
      <c r="N12" s="1">
        <f t="shared" si="0"/>
        <v>55</v>
      </c>
      <c r="O12" s="1">
        <f t="shared" si="0"/>
        <v>60</v>
      </c>
    </row>
    <row r="13" spans="2:15" x14ac:dyDescent="0.2">
      <c r="B13" s="1" t="s">
        <v>5</v>
      </c>
      <c r="C13">
        <f>C4/$B$9</f>
        <v>0</v>
      </c>
      <c r="D13">
        <f t="shared" ref="D13:O13" si="1">D4/$B$9</f>
        <v>1.1111111111111112E-4</v>
      </c>
      <c r="E13">
        <f t="shared" si="1"/>
        <v>2.3611111111111112E-4</v>
      </c>
      <c r="F13">
        <f t="shared" si="1"/>
        <v>3.4722222222222224E-4</v>
      </c>
      <c r="G13">
        <f t="shared" si="1"/>
        <v>4.5833333333333338E-4</v>
      </c>
      <c r="H13">
        <f t="shared" si="1"/>
        <v>5.5555555555555556E-4</v>
      </c>
      <c r="I13">
        <f t="shared" si="1"/>
        <v>6.6666666666666664E-4</v>
      </c>
      <c r="J13">
        <f t="shared" si="1"/>
        <v>8.0555555555555545E-4</v>
      </c>
      <c r="K13">
        <f t="shared" si="1"/>
        <v>9.0277777777777784E-4</v>
      </c>
      <c r="L13">
        <f t="shared" si="1"/>
        <v>1.0416666666666667E-3</v>
      </c>
      <c r="M13">
        <f t="shared" si="1"/>
        <v>1.1527777777777777E-3</v>
      </c>
      <c r="N13">
        <f t="shared" si="1"/>
        <v>1.2777777777777779E-3</v>
      </c>
      <c r="O13">
        <f t="shared" si="1"/>
        <v>1.3888888888888889E-3</v>
      </c>
    </row>
    <row r="14" spans="2:15" x14ac:dyDescent="0.2">
      <c r="B14" s="1" t="s">
        <v>6</v>
      </c>
      <c r="C14">
        <f t="shared" ref="C14:O14" si="2">C5/$B$9</f>
        <v>0</v>
      </c>
      <c r="D14">
        <f t="shared" si="2"/>
        <v>6.9444444444444444E-5</v>
      </c>
      <c r="E14">
        <f t="shared" si="2"/>
        <v>1.3888888888888889E-4</v>
      </c>
      <c r="F14">
        <f t="shared" si="2"/>
        <v>1.9444444444444446E-4</v>
      </c>
      <c r="G14">
        <f t="shared" si="2"/>
        <v>2.5000000000000001E-4</v>
      </c>
      <c r="H14">
        <f t="shared" si="2"/>
        <v>3.0555555555555555E-4</v>
      </c>
      <c r="I14">
        <f t="shared" si="2"/>
        <v>3.6111111111111115E-4</v>
      </c>
      <c r="J14">
        <f t="shared" si="2"/>
        <v>4.1666666666666664E-4</v>
      </c>
      <c r="K14">
        <f t="shared" si="2"/>
        <v>4.861111111111111E-4</v>
      </c>
      <c r="L14">
        <f t="shared" si="2"/>
        <v>5.4166666666666664E-4</v>
      </c>
      <c r="M14">
        <f t="shared" si="2"/>
        <v>5.9722222222222219E-4</v>
      </c>
      <c r="N14">
        <f t="shared" si="2"/>
        <v>6.5277777777777773E-4</v>
      </c>
      <c r="O14">
        <f t="shared" si="2"/>
        <v>7.0833333333333338E-4</v>
      </c>
    </row>
    <row r="15" spans="2:15" x14ac:dyDescent="0.2">
      <c r="B15" s="1" t="s">
        <v>7</v>
      </c>
      <c r="C15">
        <f t="shared" ref="C15:O15" si="3">C6/$B$9</f>
        <v>0</v>
      </c>
      <c r="D15">
        <f t="shared" si="3"/>
        <v>6.9444444444444444E-5</v>
      </c>
      <c r="E15">
        <f t="shared" si="3"/>
        <v>1.5277777777777777E-4</v>
      </c>
      <c r="F15">
        <f t="shared" si="3"/>
        <v>3.0555555555555555E-4</v>
      </c>
      <c r="G15">
        <f t="shared" si="3"/>
        <v>3.0555555555555555E-4</v>
      </c>
      <c r="H15">
        <f t="shared" si="3"/>
        <v>3.8888888888888892E-4</v>
      </c>
      <c r="I15">
        <f t="shared" si="3"/>
        <v>4.5833333333333338E-4</v>
      </c>
      <c r="J15">
        <f t="shared" si="3"/>
        <v>5.2777777777777784E-4</v>
      </c>
      <c r="K15">
        <f t="shared" si="3"/>
        <v>6.111111111111111E-4</v>
      </c>
      <c r="L15">
        <f t="shared" si="3"/>
        <v>7.0833333333333338E-4</v>
      </c>
      <c r="M15">
        <f t="shared" si="3"/>
        <v>7.7777777777777784E-4</v>
      </c>
      <c r="N15">
        <f t="shared" si="3"/>
        <v>8.611111111111111E-4</v>
      </c>
      <c r="O15">
        <f t="shared" si="3"/>
        <v>9.3055555555555556E-4</v>
      </c>
    </row>
    <row r="16" spans="2:15" x14ac:dyDescent="0.2">
      <c r="B16" s="1" t="s">
        <v>8</v>
      </c>
      <c r="C16">
        <f t="shared" ref="C16:O16" si="4">C7/$B$9</f>
        <v>0</v>
      </c>
      <c r="D16">
        <f t="shared" si="4"/>
        <v>9.722222222222223E-5</v>
      </c>
      <c r="E16">
        <f t="shared" si="4"/>
        <v>1.9444444444444446E-4</v>
      </c>
      <c r="F16">
        <f t="shared" si="4"/>
        <v>2.9166666666666664E-4</v>
      </c>
      <c r="G16">
        <f t="shared" si="4"/>
        <v>3.8888888888888892E-4</v>
      </c>
      <c r="H16">
        <f t="shared" si="4"/>
        <v>4.7222222222222224E-4</v>
      </c>
      <c r="I16">
        <f t="shared" si="4"/>
        <v>5.6250000000000007E-4</v>
      </c>
      <c r="J16">
        <f t="shared" si="4"/>
        <v>6.6666666666666664E-4</v>
      </c>
      <c r="K16">
        <f t="shared" si="4"/>
        <v>7.5000000000000002E-4</v>
      </c>
      <c r="L16">
        <f t="shared" si="4"/>
        <v>8.3333333333333328E-4</v>
      </c>
      <c r="M16">
        <f t="shared" si="4"/>
        <v>9.4444444444444448E-4</v>
      </c>
      <c r="N16">
        <f t="shared" si="4"/>
        <v>1.0277777777777778E-3</v>
      </c>
      <c r="O16">
        <f t="shared" si="4"/>
        <v>1.1250000000000001E-3</v>
      </c>
    </row>
    <row r="21" spans="1:22" x14ac:dyDescent="0.2"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</row>
    <row r="22" spans="1:22" x14ac:dyDescent="0.2">
      <c r="A22">
        <v>0</v>
      </c>
      <c r="B22" s="1">
        <v>20</v>
      </c>
      <c r="C22" s="1">
        <v>0</v>
      </c>
      <c r="D22" s="1">
        <v>0</v>
      </c>
      <c r="E22" s="1">
        <v>0</v>
      </c>
      <c r="F22" s="1">
        <v>0</v>
      </c>
      <c r="G22">
        <v>1</v>
      </c>
      <c r="H22">
        <f>B22-$B$22</f>
        <v>0</v>
      </c>
      <c r="I22">
        <f>C22/$B$9</f>
        <v>0</v>
      </c>
      <c r="J22">
        <f t="shared" ref="J22:L34" si="5">D22/$B$9</f>
        <v>0</v>
      </c>
      <c r="K22">
        <f t="shared" si="5"/>
        <v>0</v>
      </c>
      <c r="L22">
        <f t="shared" si="5"/>
        <v>0</v>
      </c>
    </row>
    <row r="23" spans="1:22" x14ac:dyDescent="0.2">
      <c r="A23">
        <v>1</v>
      </c>
      <c r="B23" s="1">
        <v>25</v>
      </c>
      <c r="C23" s="1">
        <v>0.08</v>
      </c>
      <c r="D23" s="1">
        <v>0.05</v>
      </c>
      <c r="E23" s="1">
        <v>0.05</v>
      </c>
      <c r="F23" s="1">
        <v>7.0000000000000007E-2</v>
      </c>
      <c r="G23">
        <v>2</v>
      </c>
      <c r="H23">
        <f t="shared" ref="H23:H34" si="6">B23-$B$22</f>
        <v>5</v>
      </c>
      <c r="I23" s="2">
        <f t="shared" ref="I23:I34" si="7">C23/$B$9</f>
        <v>1.1111111111111112E-4</v>
      </c>
      <c r="J23" s="2">
        <f t="shared" si="5"/>
        <v>6.9444444444444444E-5</v>
      </c>
      <c r="K23" s="2">
        <f t="shared" si="5"/>
        <v>6.9444444444444444E-5</v>
      </c>
      <c r="L23" s="2">
        <f t="shared" si="5"/>
        <v>9.722222222222223E-5</v>
      </c>
      <c r="N23" s="2">
        <f>ROUND(I23,7)</f>
        <v>1.111E-4</v>
      </c>
      <c r="O23" s="2">
        <f t="shared" ref="O23:Q34" si="8">ROUND(J23,7)</f>
        <v>6.9400000000000006E-5</v>
      </c>
      <c r="P23" s="2">
        <f t="shared" si="8"/>
        <v>6.9400000000000006E-5</v>
      </c>
      <c r="Q23" s="2">
        <f t="shared" si="8"/>
        <v>9.7200000000000004E-5</v>
      </c>
      <c r="S23" s="4">
        <f>N23*10000</f>
        <v>1.111</v>
      </c>
      <c r="T23" s="4">
        <f t="shared" ref="T23:V34" si="9">O23*10000</f>
        <v>0.69400000000000006</v>
      </c>
      <c r="U23" s="4">
        <f t="shared" si="9"/>
        <v>0.69400000000000006</v>
      </c>
      <c r="V23" s="4">
        <f t="shared" si="9"/>
        <v>0.97200000000000009</v>
      </c>
    </row>
    <row r="24" spans="1:22" x14ac:dyDescent="0.2">
      <c r="A24">
        <v>2</v>
      </c>
      <c r="B24" s="1">
        <v>30</v>
      </c>
      <c r="C24" s="1">
        <v>0.17</v>
      </c>
      <c r="D24" s="1">
        <v>0.1</v>
      </c>
      <c r="E24" s="1">
        <v>0.11</v>
      </c>
      <c r="F24" s="1">
        <v>0.14000000000000001</v>
      </c>
      <c r="G24">
        <v>3</v>
      </c>
      <c r="H24">
        <f t="shared" si="6"/>
        <v>10</v>
      </c>
      <c r="I24" s="2">
        <f t="shared" si="7"/>
        <v>2.3611111111111112E-4</v>
      </c>
      <c r="J24" s="2">
        <f t="shared" si="5"/>
        <v>1.3888888888888889E-4</v>
      </c>
      <c r="K24" s="2">
        <f t="shared" si="5"/>
        <v>1.5277777777777777E-4</v>
      </c>
      <c r="L24" s="2">
        <f t="shared" si="5"/>
        <v>1.9444444444444446E-4</v>
      </c>
      <c r="N24" s="2">
        <f t="shared" ref="N24:N34" si="10">ROUND(I24,7)</f>
        <v>2.3609999999999999E-4</v>
      </c>
      <c r="O24" s="2">
        <f t="shared" si="8"/>
        <v>1.3889999999999999E-4</v>
      </c>
      <c r="P24" s="2">
        <f t="shared" si="8"/>
        <v>1.528E-4</v>
      </c>
      <c r="Q24" s="2">
        <f t="shared" si="8"/>
        <v>1.9440000000000001E-4</v>
      </c>
      <c r="S24" s="4">
        <f t="shared" ref="S24:S34" si="11">N24*10000</f>
        <v>2.3609999999999998</v>
      </c>
      <c r="T24" s="4">
        <f t="shared" si="9"/>
        <v>1.3889999999999998</v>
      </c>
      <c r="U24" s="4">
        <f t="shared" si="9"/>
        <v>1.528</v>
      </c>
      <c r="V24" s="4">
        <f t="shared" si="9"/>
        <v>1.9440000000000002</v>
      </c>
    </row>
    <row r="25" spans="1:22" x14ac:dyDescent="0.2">
      <c r="A25">
        <v>3</v>
      </c>
      <c r="B25" s="1">
        <v>35</v>
      </c>
      <c r="C25" s="1">
        <v>0.25</v>
      </c>
      <c r="D25" s="1">
        <v>0.14000000000000001</v>
      </c>
      <c r="E25" s="1">
        <v>0.22</v>
      </c>
      <c r="F25" s="1">
        <v>0.21</v>
      </c>
      <c r="G25">
        <v>4</v>
      </c>
      <c r="H25">
        <f t="shared" si="6"/>
        <v>15</v>
      </c>
      <c r="I25" s="2">
        <f t="shared" si="7"/>
        <v>3.4722222222222224E-4</v>
      </c>
      <c r="J25" s="2">
        <f t="shared" si="5"/>
        <v>1.9444444444444446E-4</v>
      </c>
      <c r="K25" s="2">
        <f t="shared" si="5"/>
        <v>3.0555555555555555E-4</v>
      </c>
      <c r="L25" s="2">
        <f t="shared" si="5"/>
        <v>2.9166666666666664E-4</v>
      </c>
      <c r="N25" s="2">
        <f t="shared" si="10"/>
        <v>3.4719999999999998E-4</v>
      </c>
      <c r="O25" s="2">
        <f t="shared" si="8"/>
        <v>1.9440000000000001E-4</v>
      </c>
      <c r="P25" s="2">
        <f t="shared" si="8"/>
        <v>3.056E-4</v>
      </c>
      <c r="Q25" s="2">
        <f t="shared" si="8"/>
        <v>2.9169999999999999E-4</v>
      </c>
      <c r="S25" s="4">
        <f t="shared" si="11"/>
        <v>3.472</v>
      </c>
      <c r="T25" s="4">
        <f t="shared" si="9"/>
        <v>1.9440000000000002</v>
      </c>
      <c r="U25" s="4">
        <f t="shared" si="9"/>
        <v>3.056</v>
      </c>
      <c r="V25" s="4">
        <f t="shared" si="9"/>
        <v>2.9169999999999998</v>
      </c>
    </row>
    <row r="26" spans="1:22" x14ac:dyDescent="0.2">
      <c r="A26">
        <v>4</v>
      </c>
      <c r="B26" s="1">
        <v>40</v>
      </c>
      <c r="C26" s="1">
        <v>0.33</v>
      </c>
      <c r="D26" s="1">
        <v>0.18</v>
      </c>
      <c r="E26" s="1">
        <v>0.22</v>
      </c>
      <c r="F26" s="1">
        <v>0.28000000000000003</v>
      </c>
      <c r="G26">
        <v>5</v>
      </c>
      <c r="H26">
        <f t="shared" si="6"/>
        <v>20</v>
      </c>
      <c r="I26" s="2">
        <f t="shared" si="7"/>
        <v>4.5833333333333338E-4</v>
      </c>
      <c r="J26" s="2">
        <f t="shared" si="5"/>
        <v>2.5000000000000001E-4</v>
      </c>
      <c r="K26" s="2">
        <f t="shared" si="5"/>
        <v>3.0555555555555555E-4</v>
      </c>
      <c r="L26" s="2">
        <f t="shared" si="5"/>
        <v>3.8888888888888892E-4</v>
      </c>
      <c r="N26" s="2">
        <f t="shared" si="10"/>
        <v>4.5830000000000003E-4</v>
      </c>
      <c r="O26" s="2">
        <f t="shared" si="8"/>
        <v>2.5000000000000001E-4</v>
      </c>
      <c r="P26" s="2">
        <f t="shared" si="8"/>
        <v>3.056E-4</v>
      </c>
      <c r="Q26" s="2">
        <f t="shared" si="8"/>
        <v>3.8890000000000002E-4</v>
      </c>
      <c r="S26" s="4">
        <f t="shared" si="11"/>
        <v>4.5830000000000002</v>
      </c>
      <c r="T26" s="4">
        <f t="shared" si="9"/>
        <v>2.5</v>
      </c>
      <c r="U26" s="4">
        <f t="shared" si="9"/>
        <v>3.056</v>
      </c>
      <c r="V26" s="4">
        <f t="shared" si="9"/>
        <v>3.8890000000000002</v>
      </c>
    </row>
    <row r="27" spans="1:22" x14ac:dyDescent="0.2">
      <c r="A27">
        <v>5</v>
      </c>
      <c r="B27" s="1">
        <v>45</v>
      </c>
      <c r="C27" s="1">
        <v>0.4</v>
      </c>
      <c r="D27" s="1">
        <v>0.22</v>
      </c>
      <c r="E27" s="1">
        <v>0.28000000000000003</v>
      </c>
      <c r="F27" s="1">
        <v>0.34</v>
      </c>
      <c r="G27">
        <v>6</v>
      </c>
      <c r="H27">
        <f t="shared" si="6"/>
        <v>25</v>
      </c>
      <c r="I27" s="2">
        <f t="shared" si="7"/>
        <v>5.5555555555555556E-4</v>
      </c>
      <c r="J27" s="2">
        <f t="shared" si="5"/>
        <v>3.0555555555555555E-4</v>
      </c>
      <c r="K27" s="2">
        <f t="shared" si="5"/>
        <v>3.8888888888888892E-4</v>
      </c>
      <c r="L27" s="2">
        <f t="shared" si="5"/>
        <v>4.7222222222222224E-4</v>
      </c>
      <c r="N27" s="2">
        <f t="shared" si="10"/>
        <v>5.5559999999999995E-4</v>
      </c>
      <c r="O27" s="2">
        <f t="shared" si="8"/>
        <v>3.056E-4</v>
      </c>
      <c r="P27" s="2">
        <f t="shared" si="8"/>
        <v>3.8890000000000002E-4</v>
      </c>
      <c r="Q27" s="2">
        <f t="shared" si="8"/>
        <v>4.7219999999999999E-4</v>
      </c>
      <c r="S27" s="4">
        <f t="shared" si="11"/>
        <v>5.5559999999999992</v>
      </c>
      <c r="T27" s="4">
        <f t="shared" si="9"/>
        <v>3.056</v>
      </c>
      <c r="U27" s="4">
        <f t="shared" si="9"/>
        <v>3.8890000000000002</v>
      </c>
      <c r="V27" s="4">
        <f t="shared" si="9"/>
        <v>4.7219999999999995</v>
      </c>
    </row>
    <row r="28" spans="1:22" x14ac:dyDescent="0.2">
      <c r="A28">
        <v>6</v>
      </c>
      <c r="B28" s="1">
        <v>50</v>
      </c>
      <c r="C28" s="1">
        <v>0.48</v>
      </c>
      <c r="D28" s="1">
        <v>0.26</v>
      </c>
      <c r="E28" s="1">
        <v>0.33</v>
      </c>
      <c r="F28" s="1">
        <v>0.40500000000000003</v>
      </c>
      <c r="G28">
        <v>7</v>
      </c>
      <c r="H28">
        <f t="shared" si="6"/>
        <v>30</v>
      </c>
      <c r="I28" s="2">
        <f t="shared" si="7"/>
        <v>6.6666666666666664E-4</v>
      </c>
      <c r="J28" s="2">
        <f t="shared" si="5"/>
        <v>3.6111111111111115E-4</v>
      </c>
      <c r="K28" s="2">
        <f t="shared" si="5"/>
        <v>4.5833333333333338E-4</v>
      </c>
      <c r="L28" s="2">
        <f t="shared" si="5"/>
        <v>5.6250000000000007E-4</v>
      </c>
      <c r="N28" s="2">
        <f t="shared" si="10"/>
        <v>6.667E-4</v>
      </c>
      <c r="O28" s="2">
        <f t="shared" si="8"/>
        <v>3.611E-4</v>
      </c>
      <c r="P28" s="2">
        <f t="shared" si="8"/>
        <v>4.5830000000000003E-4</v>
      </c>
      <c r="Q28" s="2">
        <f t="shared" si="8"/>
        <v>5.6249999999999996E-4</v>
      </c>
      <c r="S28" s="4">
        <f t="shared" si="11"/>
        <v>6.6669999999999998</v>
      </c>
      <c r="T28" s="4">
        <f t="shared" si="9"/>
        <v>3.6109999999999998</v>
      </c>
      <c r="U28" s="4">
        <f t="shared" si="9"/>
        <v>4.5830000000000002</v>
      </c>
      <c r="V28" s="4">
        <f t="shared" si="9"/>
        <v>5.625</v>
      </c>
    </row>
    <row r="29" spans="1:22" x14ac:dyDescent="0.2">
      <c r="A29">
        <v>7</v>
      </c>
      <c r="B29" s="1">
        <v>55</v>
      </c>
      <c r="C29" s="1">
        <v>0.57999999999999996</v>
      </c>
      <c r="D29" s="1">
        <v>0.3</v>
      </c>
      <c r="E29" s="1">
        <v>0.38</v>
      </c>
      <c r="F29" s="1">
        <v>0.48</v>
      </c>
      <c r="G29">
        <v>8</v>
      </c>
      <c r="H29">
        <f t="shared" si="6"/>
        <v>35</v>
      </c>
      <c r="I29" s="2">
        <f t="shared" si="7"/>
        <v>8.0555555555555545E-4</v>
      </c>
      <c r="J29" s="2">
        <f t="shared" si="5"/>
        <v>4.1666666666666664E-4</v>
      </c>
      <c r="K29" s="2">
        <f t="shared" si="5"/>
        <v>5.2777777777777784E-4</v>
      </c>
      <c r="L29" s="2">
        <f t="shared" si="5"/>
        <v>6.6666666666666664E-4</v>
      </c>
      <c r="N29" s="2">
        <f t="shared" si="10"/>
        <v>8.0559999999999996E-4</v>
      </c>
      <c r="O29" s="2">
        <f t="shared" si="8"/>
        <v>4.1669999999999999E-4</v>
      </c>
      <c r="P29" s="2">
        <f t="shared" si="8"/>
        <v>5.2780000000000004E-4</v>
      </c>
      <c r="Q29" s="2">
        <f t="shared" si="8"/>
        <v>6.667E-4</v>
      </c>
      <c r="S29" s="4">
        <f t="shared" si="11"/>
        <v>8.0559999999999992</v>
      </c>
      <c r="T29" s="4">
        <f t="shared" si="9"/>
        <v>4.1669999999999998</v>
      </c>
      <c r="U29" s="4">
        <f t="shared" si="9"/>
        <v>5.2780000000000005</v>
      </c>
      <c r="V29" s="4">
        <f t="shared" si="9"/>
        <v>6.6669999999999998</v>
      </c>
    </row>
    <row r="30" spans="1:22" x14ac:dyDescent="0.2">
      <c r="A30">
        <v>8</v>
      </c>
      <c r="B30" s="1">
        <v>60</v>
      </c>
      <c r="C30" s="1">
        <v>0.65</v>
      </c>
      <c r="D30" s="1">
        <v>0.35</v>
      </c>
      <c r="E30" s="1">
        <v>0.44</v>
      </c>
      <c r="F30" s="1">
        <v>0.54</v>
      </c>
      <c r="G30">
        <v>9</v>
      </c>
      <c r="H30">
        <f t="shared" si="6"/>
        <v>40</v>
      </c>
      <c r="I30" s="2">
        <f t="shared" si="7"/>
        <v>9.0277777777777784E-4</v>
      </c>
      <c r="J30" s="2">
        <f t="shared" si="5"/>
        <v>4.861111111111111E-4</v>
      </c>
      <c r="K30" s="2">
        <f t="shared" si="5"/>
        <v>6.111111111111111E-4</v>
      </c>
      <c r="L30" s="2">
        <f t="shared" si="5"/>
        <v>7.5000000000000002E-4</v>
      </c>
      <c r="N30" s="2">
        <f t="shared" si="10"/>
        <v>9.0280000000000004E-4</v>
      </c>
      <c r="O30" s="2">
        <f t="shared" si="8"/>
        <v>4.861E-4</v>
      </c>
      <c r="P30" s="2">
        <f t="shared" si="8"/>
        <v>6.1109999999999995E-4</v>
      </c>
      <c r="Q30" s="2">
        <f t="shared" si="8"/>
        <v>7.5000000000000002E-4</v>
      </c>
      <c r="S30" s="4">
        <f t="shared" si="11"/>
        <v>9.0280000000000005</v>
      </c>
      <c r="T30" s="4">
        <f t="shared" si="9"/>
        <v>4.8609999999999998</v>
      </c>
      <c r="U30" s="4">
        <f t="shared" si="9"/>
        <v>6.1109999999999998</v>
      </c>
      <c r="V30" s="4">
        <f t="shared" si="9"/>
        <v>7.5</v>
      </c>
    </row>
    <row r="31" spans="1:22" x14ac:dyDescent="0.2">
      <c r="A31">
        <v>9</v>
      </c>
      <c r="B31" s="1">
        <v>65</v>
      </c>
      <c r="C31" s="1">
        <v>0.75</v>
      </c>
      <c r="D31" s="1">
        <v>0.39</v>
      </c>
      <c r="E31" s="1">
        <v>0.51</v>
      </c>
      <c r="F31" s="1">
        <v>0.6</v>
      </c>
      <c r="G31">
        <v>10</v>
      </c>
      <c r="H31">
        <f t="shared" si="6"/>
        <v>45</v>
      </c>
      <c r="I31" s="2">
        <f t="shared" si="7"/>
        <v>1.0416666666666667E-3</v>
      </c>
      <c r="J31" s="2">
        <f t="shared" si="5"/>
        <v>5.4166666666666664E-4</v>
      </c>
      <c r="K31" s="2">
        <f t="shared" si="5"/>
        <v>7.0833333333333338E-4</v>
      </c>
      <c r="L31" s="2">
        <f t="shared" si="5"/>
        <v>8.3333333333333328E-4</v>
      </c>
      <c r="N31" s="2">
        <f t="shared" si="10"/>
        <v>1.0417E-3</v>
      </c>
      <c r="O31" s="2">
        <f t="shared" si="8"/>
        <v>5.4169999999999999E-4</v>
      </c>
      <c r="P31" s="2">
        <f t="shared" si="8"/>
        <v>7.0830000000000003E-4</v>
      </c>
      <c r="Q31" s="2">
        <f t="shared" si="8"/>
        <v>8.3330000000000003E-4</v>
      </c>
      <c r="S31" s="4">
        <f>N31*10000</f>
        <v>10.417</v>
      </c>
      <c r="T31" s="4">
        <f t="shared" si="9"/>
        <v>5.4169999999999998</v>
      </c>
      <c r="U31" s="4">
        <f t="shared" si="9"/>
        <v>7.0830000000000002</v>
      </c>
      <c r="V31" s="4">
        <f t="shared" si="9"/>
        <v>8.3330000000000002</v>
      </c>
    </row>
    <row r="32" spans="1:22" x14ac:dyDescent="0.2">
      <c r="A32">
        <v>10</v>
      </c>
      <c r="B32" s="1">
        <v>70</v>
      </c>
      <c r="C32" s="1">
        <v>0.83</v>
      </c>
      <c r="D32" s="1">
        <v>0.43</v>
      </c>
      <c r="E32" s="1">
        <v>0.56000000000000005</v>
      </c>
      <c r="F32" s="1">
        <v>0.68</v>
      </c>
      <c r="G32">
        <v>11</v>
      </c>
      <c r="H32">
        <f t="shared" si="6"/>
        <v>50</v>
      </c>
      <c r="I32" s="2">
        <f t="shared" si="7"/>
        <v>1.1527777777777777E-3</v>
      </c>
      <c r="J32" s="2">
        <f t="shared" si="5"/>
        <v>5.9722222222222219E-4</v>
      </c>
      <c r="K32" s="2">
        <f t="shared" si="5"/>
        <v>7.7777777777777784E-4</v>
      </c>
      <c r="L32" s="2">
        <f t="shared" si="5"/>
        <v>9.4444444444444448E-4</v>
      </c>
      <c r="N32" s="2">
        <f t="shared" si="10"/>
        <v>1.1528E-3</v>
      </c>
      <c r="O32" s="2">
        <f t="shared" si="8"/>
        <v>5.9719999999999999E-4</v>
      </c>
      <c r="P32" s="2">
        <f t="shared" si="8"/>
        <v>7.7780000000000004E-4</v>
      </c>
      <c r="Q32" s="2">
        <f t="shared" si="8"/>
        <v>9.4439999999999997E-4</v>
      </c>
      <c r="S32" s="4">
        <f t="shared" si="11"/>
        <v>11.528</v>
      </c>
      <c r="T32" s="4">
        <f t="shared" si="9"/>
        <v>5.9719999999999995</v>
      </c>
      <c r="U32" s="4">
        <f t="shared" si="9"/>
        <v>7.7780000000000005</v>
      </c>
      <c r="V32" s="4">
        <f t="shared" si="9"/>
        <v>9.4439999999999991</v>
      </c>
    </row>
    <row r="33" spans="1:22" x14ac:dyDescent="0.2">
      <c r="A33">
        <v>11</v>
      </c>
      <c r="B33" s="1">
        <v>75</v>
      </c>
      <c r="C33" s="1">
        <v>0.92</v>
      </c>
      <c r="D33" s="1">
        <v>0.47</v>
      </c>
      <c r="E33" s="1">
        <v>0.62</v>
      </c>
      <c r="F33" s="1">
        <v>0.74</v>
      </c>
      <c r="G33">
        <v>12</v>
      </c>
      <c r="H33">
        <f t="shared" si="6"/>
        <v>55</v>
      </c>
      <c r="I33" s="2">
        <f t="shared" si="7"/>
        <v>1.2777777777777779E-3</v>
      </c>
      <c r="J33" s="2">
        <f t="shared" si="5"/>
        <v>6.5277777777777773E-4</v>
      </c>
      <c r="K33" s="2">
        <f t="shared" si="5"/>
        <v>8.611111111111111E-4</v>
      </c>
      <c r="L33" s="2">
        <f t="shared" si="5"/>
        <v>1.0277777777777778E-3</v>
      </c>
      <c r="N33" s="2">
        <f t="shared" si="10"/>
        <v>1.2777999999999999E-3</v>
      </c>
      <c r="O33" s="2">
        <f t="shared" si="8"/>
        <v>6.5280000000000004E-4</v>
      </c>
      <c r="P33" s="2">
        <f t="shared" si="8"/>
        <v>8.6109999999999995E-4</v>
      </c>
      <c r="Q33" s="2">
        <f t="shared" si="8"/>
        <v>1.0277999999999999E-3</v>
      </c>
      <c r="S33" s="4">
        <f t="shared" si="11"/>
        <v>12.777999999999999</v>
      </c>
      <c r="T33" s="4">
        <f t="shared" si="9"/>
        <v>6.5280000000000005</v>
      </c>
      <c r="U33" s="4">
        <f t="shared" si="9"/>
        <v>8.6109999999999989</v>
      </c>
      <c r="V33" s="4">
        <f>Q33*10000</f>
        <v>10.277999999999999</v>
      </c>
    </row>
    <row r="34" spans="1:22" x14ac:dyDescent="0.2">
      <c r="A34">
        <v>12</v>
      </c>
      <c r="B34" s="1">
        <v>80</v>
      </c>
      <c r="C34" s="1">
        <v>1</v>
      </c>
      <c r="D34" s="1">
        <v>0.51</v>
      </c>
      <c r="E34" s="1">
        <v>0.67</v>
      </c>
      <c r="F34" s="1">
        <v>0.81</v>
      </c>
      <c r="G34">
        <v>13</v>
      </c>
      <c r="H34">
        <f t="shared" si="6"/>
        <v>60</v>
      </c>
      <c r="I34" s="2">
        <f t="shared" si="7"/>
        <v>1.3888888888888889E-3</v>
      </c>
      <c r="J34" s="2">
        <f t="shared" si="5"/>
        <v>7.0833333333333338E-4</v>
      </c>
      <c r="K34" s="2">
        <f t="shared" si="5"/>
        <v>9.3055555555555556E-4</v>
      </c>
      <c r="L34" s="2">
        <f t="shared" si="5"/>
        <v>1.1250000000000001E-3</v>
      </c>
      <c r="N34" s="2">
        <f t="shared" si="10"/>
        <v>1.3889E-3</v>
      </c>
      <c r="O34" s="2">
        <f t="shared" si="8"/>
        <v>7.0830000000000003E-4</v>
      </c>
      <c r="P34" s="2">
        <f t="shared" si="8"/>
        <v>9.3059999999999996E-4</v>
      </c>
      <c r="Q34" s="2">
        <f t="shared" si="8"/>
        <v>1.1249999999999999E-3</v>
      </c>
      <c r="S34" s="4">
        <f t="shared" si="11"/>
        <v>13.888999999999999</v>
      </c>
      <c r="T34" s="4">
        <f t="shared" si="9"/>
        <v>7.0830000000000002</v>
      </c>
      <c r="U34" s="4">
        <f t="shared" si="9"/>
        <v>9.3059999999999992</v>
      </c>
      <c r="V34" s="4">
        <f t="shared" si="9"/>
        <v>11.25</v>
      </c>
    </row>
    <row r="37" spans="1:22" x14ac:dyDescent="0.2">
      <c r="B37" cm="1">
        <f t="array" ref="B37:C41">LINEST(I22:I34,H22:H34,FALSE,TRUE)</f>
        <v>2.299145299145299E-5</v>
      </c>
      <c r="C37">
        <v>0</v>
      </c>
      <c r="E37" cm="1">
        <f t="array" ref="E37:F41">LINEST(J22:J34,H22:H34,FALSE,TRUE)</f>
        <v>1.1987179487179487E-5</v>
      </c>
      <c r="F37">
        <v>0</v>
      </c>
      <c r="H37" cm="1">
        <f t="array" ref="H37:I41">LINEST(K22:K34,H22:H34,FALSE,TRUE)</f>
        <v>1.5564102564102561E-5</v>
      </c>
      <c r="I37">
        <v>0</v>
      </c>
      <c r="K37" cm="1">
        <f t="array" ref="K37:L41">LINEST(L22:L34,H22:H34,FALSE,TRUE)</f>
        <v>1.8790598290598289E-5</v>
      </c>
      <c r="L37">
        <v>0</v>
      </c>
    </row>
    <row r="38" spans="1:22" x14ac:dyDescent="0.2">
      <c r="B38">
        <v>8.9811397527909638E-8</v>
      </c>
      <c r="C38" t="e">
        <v>#N/A</v>
      </c>
      <c r="E38">
        <v>7.272285561489368E-8</v>
      </c>
      <c r="F38" t="e">
        <v>#N/A</v>
      </c>
      <c r="H38">
        <v>1.7396714533994639E-7</v>
      </c>
      <c r="I38" t="e">
        <v>#N/A</v>
      </c>
      <c r="K38">
        <v>5.6580239015489765E-8</v>
      </c>
      <c r="L38" t="e">
        <v>#N/A</v>
      </c>
    </row>
    <row r="39" spans="1:22" x14ac:dyDescent="0.2">
      <c r="B39">
        <v>0.99981692383686194</v>
      </c>
      <c r="C39">
        <v>1.1448751713446252E-5</v>
      </c>
      <c r="E39">
        <v>0.99955853395159744</v>
      </c>
      <c r="F39">
        <v>9.2703814966133366E-6</v>
      </c>
      <c r="H39">
        <v>0.99850301677575748</v>
      </c>
      <c r="I39">
        <v>2.2176546720310468E-5</v>
      </c>
      <c r="K39">
        <v>0.99989121166339223</v>
      </c>
      <c r="L39">
        <v>7.212593570593153E-6</v>
      </c>
    </row>
    <row r="40" spans="1:22" x14ac:dyDescent="0.2">
      <c r="B40">
        <v>65534.490566037508</v>
      </c>
      <c r="C40">
        <v>12</v>
      </c>
      <c r="E40">
        <v>27170.158273381272</v>
      </c>
      <c r="F40">
        <v>12</v>
      </c>
      <c r="H40">
        <v>8004.1218948003698</v>
      </c>
      <c r="I40">
        <v>12</v>
      </c>
      <c r="K40">
        <v>110293.9424768241</v>
      </c>
      <c r="L40">
        <v>12</v>
      </c>
    </row>
    <row r="41" spans="1:22" x14ac:dyDescent="0.2">
      <c r="B41">
        <v>8.5898622981956315E-6</v>
      </c>
      <c r="C41">
        <v>1.5728869895536618E-9</v>
      </c>
      <c r="E41">
        <v>2.3350026709401708E-6</v>
      </c>
      <c r="F41">
        <v>1.0312796771130112E-9</v>
      </c>
      <c r="H41">
        <v>3.9364209401709408E-6</v>
      </c>
      <c r="I41">
        <v>5.9015906932573554E-9</v>
      </c>
      <c r="K41">
        <v>5.737656991927826E-6</v>
      </c>
      <c r="L41">
        <v>6.242580721747403E-10</v>
      </c>
    </row>
    <row r="49" spans="2:12" x14ac:dyDescent="0.2">
      <c r="G49" t="s">
        <v>10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2:12" x14ac:dyDescent="0.2">
      <c r="B50">
        <f>0.01/SQRT(3)</f>
        <v>5.773502691896258E-3</v>
      </c>
      <c r="G50" t="s">
        <v>11</v>
      </c>
      <c r="H50">
        <v>5</v>
      </c>
      <c r="I50">
        <v>1.1111111111111112E-4</v>
      </c>
      <c r="J50">
        <v>6.9444444444444444E-5</v>
      </c>
      <c r="K50">
        <v>6.9444444444444444E-5</v>
      </c>
      <c r="L50">
        <v>9.722222222222223E-5</v>
      </c>
    </row>
    <row r="51" spans="2:12" x14ac:dyDescent="0.2">
      <c r="B51" s="3">
        <f>B50/720</f>
        <v>8.0187537387448027E-6</v>
      </c>
      <c r="G51" t="s">
        <v>12</v>
      </c>
      <c r="H51">
        <v>10</v>
      </c>
      <c r="I51">
        <v>2.3611111111111112E-4</v>
      </c>
      <c r="J51">
        <v>1.3888888888888889E-4</v>
      </c>
      <c r="K51">
        <v>1.5277777777777777E-4</v>
      </c>
      <c r="L51">
        <v>1.9444444444444446E-4</v>
      </c>
    </row>
    <row r="52" spans="2:12" x14ac:dyDescent="0.2">
      <c r="G52" t="s">
        <v>13</v>
      </c>
      <c r="H52">
        <v>15</v>
      </c>
      <c r="I52">
        <v>3.4722222222222224E-4</v>
      </c>
      <c r="J52">
        <v>1.9444444444444446E-4</v>
      </c>
      <c r="K52">
        <v>3.0555555555555555E-4</v>
      </c>
      <c r="L52">
        <v>2.9166666666666664E-4</v>
      </c>
    </row>
    <row r="53" spans="2:12" x14ac:dyDescent="0.2">
      <c r="G53" t="s">
        <v>14</v>
      </c>
      <c r="H53">
        <v>20</v>
      </c>
      <c r="I53">
        <v>4.5833333333333338E-4</v>
      </c>
      <c r="J53">
        <v>2.5000000000000001E-4</v>
      </c>
      <c r="K53">
        <v>3.0555555555555555E-4</v>
      </c>
      <c r="L53">
        <v>3.8888888888888892E-4</v>
      </c>
    </row>
    <row r="54" spans="2:12" x14ac:dyDescent="0.2">
      <c r="G54" t="s">
        <v>15</v>
      </c>
      <c r="H54">
        <v>25</v>
      </c>
      <c r="I54">
        <v>5.5555555555555556E-4</v>
      </c>
      <c r="J54">
        <v>3.0555555555555555E-4</v>
      </c>
      <c r="K54">
        <v>3.8888888888888892E-4</v>
      </c>
      <c r="L54">
        <v>4.7222222222222224E-4</v>
      </c>
    </row>
    <row r="55" spans="2:12" x14ac:dyDescent="0.2">
      <c r="G55" t="s">
        <v>16</v>
      </c>
      <c r="H55">
        <v>30</v>
      </c>
      <c r="I55">
        <v>6.6666666666666664E-4</v>
      </c>
      <c r="J55">
        <v>3.6111111111111115E-4</v>
      </c>
      <c r="K55">
        <v>4.5833333333333338E-4</v>
      </c>
      <c r="L55">
        <v>5.6250000000000007E-4</v>
      </c>
    </row>
    <row r="56" spans="2:12" x14ac:dyDescent="0.2">
      <c r="G56" t="s">
        <v>17</v>
      </c>
      <c r="H56">
        <v>35</v>
      </c>
      <c r="I56">
        <v>8.0555555555555545E-4</v>
      </c>
      <c r="J56">
        <v>4.1666666666666664E-4</v>
      </c>
      <c r="K56">
        <v>5.2777777777777784E-4</v>
      </c>
      <c r="L56">
        <v>6.6666666666666664E-4</v>
      </c>
    </row>
    <row r="57" spans="2:12" x14ac:dyDescent="0.2">
      <c r="G57" t="s">
        <v>18</v>
      </c>
      <c r="H57">
        <v>40</v>
      </c>
      <c r="I57">
        <v>9.0277777777777784E-4</v>
      </c>
      <c r="J57">
        <v>4.861111111111111E-4</v>
      </c>
      <c r="K57">
        <v>6.111111111111111E-4</v>
      </c>
      <c r="L57">
        <v>7.5000000000000002E-4</v>
      </c>
    </row>
    <row r="58" spans="2:12" x14ac:dyDescent="0.2">
      <c r="G58" t="s">
        <v>19</v>
      </c>
      <c r="H58">
        <v>45</v>
      </c>
      <c r="I58">
        <v>1.0416666666666667E-3</v>
      </c>
      <c r="J58">
        <v>5.4166666666666664E-4</v>
      </c>
      <c r="K58">
        <v>7.0833333333333338E-4</v>
      </c>
      <c r="L58">
        <v>8.3333333333333328E-4</v>
      </c>
    </row>
    <row r="59" spans="2:12" x14ac:dyDescent="0.2">
      <c r="G59" t="s">
        <v>20</v>
      </c>
      <c r="H59">
        <v>50</v>
      </c>
      <c r="I59">
        <v>1.1527777777777777E-3</v>
      </c>
      <c r="J59">
        <v>5.9722222222222219E-4</v>
      </c>
      <c r="K59">
        <v>7.7777777777777784E-4</v>
      </c>
      <c r="L59">
        <v>9.4444444444444448E-4</v>
      </c>
    </row>
    <row r="60" spans="2:12" x14ac:dyDescent="0.2">
      <c r="G60" t="s">
        <v>21</v>
      </c>
      <c r="H60">
        <v>55</v>
      </c>
      <c r="I60">
        <v>1.2777777777777779E-3</v>
      </c>
      <c r="J60">
        <v>6.5277777777777773E-4</v>
      </c>
      <c r="K60">
        <v>8.611111111111111E-4</v>
      </c>
      <c r="L60">
        <v>1.0277777777777778E-3</v>
      </c>
    </row>
    <row r="61" spans="2:12" x14ac:dyDescent="0.2">
      <c r="G61" t="s">
        <v>22</v>
      </c>
      <c r="H61">
        <v>60</v>
      </c>
      <c r="I61">
        <v>1.3888888888888889E-3</v>
      </c>
      <c r="J61">
        <v>7.0833333333333338E-4</v>
      </c>
      <c r="K61">
        <v>9.3055555555555556E-4</v>
      </c>
      <c r="L61">
        <v>1.1250000000000001E-3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Bukowski</dc:creator>
  <cp:lastModifiedBy>Olaf Bukowski</cp:lastModifiedBy>
  <dcterms:created xsi:type="dcterms:W3CDTF">2026-05-29T12:18:31Z</dcterms:created>
  <dcterms:modified xsi:type="dcterms:W3CDTF">2026-06-19T04:42:47Z</dcterms:modified>
</cp:coreProperties>
</file>